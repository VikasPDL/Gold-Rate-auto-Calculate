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69CCB3D-B4DC-47FE-94B1-E2A5205119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1" i="1" l="1"/>
  <c r="P23" i="1" s="1"/>
  <c r="K21" i="1"/>
  <c r="U9" i="1"/>
  <c r="U12" i="1"/>
  <c r="P19" i="1"/>
  <c r="K19" i="1"/>
  <c r="U7" i="1"/>
  <c r="P7" i="1"/>
  <c r="P8" i="1" s="1"/>
  <c r="K7" i="1"/>
  <c r="K8" i="1" s="1"/>
  <c r="U11" i="1"/>
  <c r="U10" i="1"/>
  <c r="P24" i="1"/>
  <c r="K24" i="1"/>
  <c r="K23" i="1"/>
  <c r="P22" i="1"/>
  <c r="K22" i="1"/>
  <c r="K6" i="1" l="1"/>
  <c r="T3" i="1" l="1"/>
  <c r="T5" i="1" s="1"/>
  <c r="U5" i="1" s="1"/>
  <c r="U6" i="1"/>
  <c r="J15" i="1"/>
  <c r="J17" i="1" s="1"/>
  <c r="O15" i="1"/>
  <c r="O17" i="1" s="1"/>
  <c r="P31" i="1"/>
  <c r="U8" i="1" l="1"/>
  <c r="P29" i="1"/>
  <c r="P30" i="1"/>
  <c r="P32" i="1" l="1"/>
  <c r="P6" i="1" l="1"/>
  <c r="O3" i="1" l="1"/>
  <c r="O5" i="1" s="1"/>
  <c r="P5" i="1" s="1"/>
  <c r="J3" i="1"/>
  <c r="J5" i="1" s="1"/>
  <c r="P18" i="1"/>
  <c r="K18" i="1"/>
  <c r="K17" i="1"/>
  <c r="K5" i="1" l="1"/>
  <c r="P17" i="1"/>
  <c r="P9" i="1"/>
  <c r="K20" i="1"/>
  <c r="K9" i="1" l="1"/>
  <c r="K11" i="1" s="1"/>
  <c r="P12" i="1"/>
  <c r="P10" i="1"/>
  <c r="P11" i="1"/>
  <c r="P20" i="1"/>
  <c r="E19" i="1"/>
  <c r="E18" i="1"/>
  <c r="E17" i="1"/>
  <c r="E7" i="1"/>
  <c r="E6" i="1"/>
  <c r="K10" i="1" l="1"/>
  <c r="K12" i="1"/>
  <c r="E20" i="1"/>
  <c r="F20" i="1" s="1"/>
  <c r="G3" i="1"/>
  <c r="D5" i="1" s="1"/>
  <c r="E5" i="1" s="1"/>
  <c r="E8" i="1" s="1"/>
  <c r="F8" i="1" s="1"/>
</calcChain>
</file>

<file path=xl/sharedStrings.xml><?xml version="1.0" encoding="utf-8"?>
<sst xmlns="http://schemas.openxmlformats.org/spreadsheetml/2006/main" count="72" uniqueCount="23">
  <si>
    <t>18KT</t>
  </si>
  <si>
    <t>14KT</t>
  </si>
  <si>
    <t>new</t>
  </si>
  <si>
    <t>old</t>
  </si>
  <si>
    <t>Silver</t>
  </si>
  <si>
    <t>Round</t>
  </si>
  <si>
    <t>Gold</t>
  </si>
  <si>
    <t>Gold 0.995</t>
  </si>
  <si>
    <t>Dimaond</t>
  </si>
  <si>
    <t>Labour</t>
  </si>
  <si>
    <t>Rupees</t>
  </si>
  <si>
    <t>Product Rate</t>
  </si>
  <si>
    <t>Product Details(Grm/Cts)</t>
  </si>
  <si>
    <t>Silver Rate - 22-05-2026</t>
  </si>
  <si>
    <t>10KT</t>
  </si>
  <si>
    <t>9KT</t>
  </si>
  <si>
    <t>Diamond Rate for</t>
  </si>
  <si>
    <t>22KT</t>
  </si>
  <si>
    <t>Rate per Gram</t>
  </si>
  <si>
    <t xml:space="preserve">Note - Above details in future may have change please speak with stock team for Rate current dated(22-05-2026) rates price </t>
  </si>
  <si>
    <t>$ /95</t>
  </si>
  <si>
    <t>Pound /128</t>
  </si>
  <si>
    <t>Euro 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</si>
</sst>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164" formatCode="_(* #,##0.00_);_(* \(#,##0.00\);_(* &quot;-&quot;??_);_(@_)"/>
    <numFmt numFmtId="165" formatCode="0.0"/>
    <numFmt numFmtId="166" formatCode="_ [$₹-4009]\ * #,##0.00_ ;_ [$₹-4009]\ * \-#,##0.00_ ;_ [$₹-4009]\ * &quot;-&quot;??_ ;_ @_ "/>
    <numFmt numFmtId="167" formatCode="_-[$$-409]* #,##0.00_ ;_-[$$-409]* \-#,##0.00\ ;_-[$$-409]* &quot;-&quot;??_ ;_-@_ "/>
    <numFmt numFmtId="168" formatCode="_ &quot;₹&quot;\ * #,##0_ ;_ &quot;₹&quot;\ * \-#,##0_ ;_ &quot;₹&quot;\ * &quot;-&quot;??_ ;_ @_ "/>
    <numFmt numFmtId="169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68" fontId="0" fillId="0" borderId="1" xfId="1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6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/>
    <xf numFmtId="0" fontId="5" fillId="0" borderId="0" xfId="0" applyFont="1"/>
    <xf numFmtId="0" fontId="6" fillId="0" borderId="2" xfId="0" quotePrefix="1" applyFont="1" applyBorder="1"/>
    <xf numFmtId="0" fontId="6" fillId="0" borderId="0" xfId="0" applyFont="1"/>
    <xf numFmtId="169" fontId="6" fillId="0" borderId="3" xfId="2" applyNumberFormat="1" applyFont="1" applyBorder="1"/>
    <xf numFmtId="0" fontId="6" fillId="0" borderId="2" xfId="0" applyFont="1" applyBorder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43"/>
  <sheetViews>
    <sheetView tabSelected="1" topLeftCell="A19" workbookViewId="0">
      <selection activeCell="P21" sqref="P21"/>
    </sheetView>
  </sheetViews>
  <sheetFormatPr defaultRowHeight="14.4" x14ac:dyDescent="0.3"/>
  <cols>
    <col min="2" max="2" width="8.6640625" bestFit="1" customWidth="1"/>
    <col min="3" max="7" width="8.88671875" hidden="1" customWidth="1"/>
    <col min="8" max="8" width="0" hidden="1" customWidth="1"/>
    <col min="9" max="9" width="22.33203125" bestFit="1" customWidth="1"/>
    <col min="10" max="10" width="14.6640625" customWidth="1"/>
    <col min="11" max="11" width="14.109375" bestFit="1" customWidth="1"/>
    <col min="12" max="12" width="1.44140625" customWidth="1"/>
    <col min="13" max="13" width="16.44140625" customWidth="1"/>
    <col min="14" max="14" width="22.33203125" bestFit="1" customWidth="1"/>
    <col min="15" max="15" width="11.33203125" bestFit="1" customWidth="1"/>
    <col min="16" max="16" width="13.88671875" bestFit="1" customWidth="1"/>
    <col min="17" max="17" width="1" customWidth="1"/>
    <col min="18" max="18" width="10.33203125" bestFit="1" customWidth="1"/>
    <col min="19" max="19" width="22.33203125" bestFit="1" customWidth="1"/>
    <col min="20" max="20" width="12" bestFit="1" customWidth="1"/>
    <col min="21" max="21" width="11.44140625" bestFit="1" customWidth="1"/>
    <col min="22" max="22" width="15.6640625" bestFit="1" customWidth="1"/>
    <col min="23" max="23" width="11.44140625" bestFit="1" customWidth="1"/>
    <col min="24" max="24" width="16.5546875" bestFit="1" customWidth="1"/>
    <col min="25" max="25" width="11.88671875" bestFit="1" customWidth="1"/>
  </cols>
  <sheetData>
    <row r="1" spans="2:25" x14ac:dyDescent="0.3">
      <c r="X1" s="4"/>
      <c r="Y1" s="3"/>
    </row>
    <row r="2" spans="2:25" x14ac:dyDescent="0.3">
      <c r="I2" s="7" t="s">
        <v>7</v>
      </c>
      <c r="J2" s="21" t="s">
        <v>0</v>
      </c>
      <c r="L2" s="2"/>
      <c r="N2" s="7" t="s">
        <v>7</v>
      </c>
      <c r="O2" s="21" t="s">
        <v>1</v>
      </c>
      <c r="S2" s="7" t="s">
        <v>7</v>
      </c>
      <c r="T2" s="21" t="s">
        <v>17</v>
      </c>
      <c r="X2" s="4"/>
      <c r="Y2" s="4"/>
    </row>
    <row r="3" spans="2:25" x14ac:dyDescent="0.3">
      <c r="F3">
        <v>11100</v>
      </c>
      <c r="G3">
        <f>+F3*75.37%*0.995</f>
        <v>8324.2396499999995</v>
      </c>
      <c r="I3" s="22">
        <v>17000</v>
      </c>
      <c r="J3" s="10">
        <f>+I3*75.37%/0.995</f>
        <v>12877.286432160805</v>
      </c>
      <c r="N3" s="22">
        <v>17000</v>
      </c>
      <c r="O3" s="10">
        <f>+N3*58.6%/0.995</f>
        <v>10012.060301507538</v>
      </c>
      <c r="S3" s="22">
        <v>17000</v>
      </c>
      <c r="T3" s="10">
        <f>+S3*92.96%/0.995</f>
        <v>15882.613065326632</v>
      </c>
    </row>
    <row r="4" spans="2:25" x14ac:dyDescent="0.3">
      <c r="C4" s="8">
        <v>7.55</v>
      </c>
      <c r="D4" s="8"/>
      <c r="E4" s="8"/>
      <c r="F4" s="8"/>
      <c r="G4" s="8"/>
      <c r="H4" s="8"/>
      <c r="I4" s="13" t="s">
        <v>12</v>
      </c>
      <c r="J4" s="13" t="s">
        <v>11</v>
      </c>
      <c r="K4" s="13" t="s">
        <v>10</v>
      </c>
      <c r="L4" s="2"/>
      <c r="N4" s="13" t="s">
        <v>12</v>
      </c>
      <c r="O4" s="13" t="s">
        <v>11</v>
      </c>
      <c r="P4" s="13" t="s">
        <v>10</v>
      </c>
      <c r="S4" s="13" t="s">
        <v>12</v>
      </c>
      <c r="T4" s="13" t="s">
        <v>11</v>
      </c>
      <c r="U4" s="13" t="s">
        <v>10</v>
      </c>
    </row>
    <row r="5" spans="2:25" x14ac:dyDescent="0.3">
      <c r="B5" s="13" t="s">
        <v>6</v>
      </c>
      <c r="C5" s="8">
        <v>7.38</v>
      </c>
      <c r="D5" s="8">
        <f>G3</f>
        <v>8324.2396499999995</v>
      </c>
      <c r="E5" s="8">
        <f>+C5*D5</f>
        <v>61432.888616999997</v>
      </c>
      <c r="F5" s="8"/>
      <c r="G5" s="8"/>
      <c r="H5" s="8"/>
      <c r="I5" s="9">
        <v>0.66</v>
      </c>
      <c r="J5" s="14">
        <f>J3</f>
        <v>12877.286432160805</v>
      </c>
      <c r="K5" s="14">
        <f>+I5*J5</f>
        <v>8499.009045226132</v>
      </c>
      <c r="L5" s="5"/>
      <c r="M5" s="13" t="s">
        <v>6</v>
      </c>
      <c r="N5" s="9">
        <v>35.200000000000003</v>
      </c>
      <c r="O5" s="14">
        <f>O3</f>
        <v>10012.060301507538</v>
      </c>
      <c r="P5" s="12">
        <f>+N5*O5</f>
        <v>352424.52261306538</v>
      </c>
      <c r="R5" s="13" t="s">
        <v>6</v>
      </c>
      <c r="S5" s="9">
        <v>110</v>
      </c>
      <c r="T5" s="14">
        <f>T3</f>
        <v>15882.613065326632</v>
      </c>
      <c r="U5" s="12">
        <f>+S5*T5</f>
        <v>1747087.4371859294</v>
      </c>
    </row>
    <row r="6" spans="2:25" x14ac:dyDescent="0.3">
      <c r="B6" s="13" t="s">
        <v>8</v>
      </c>
      <c r="C6" s="8">
        <v>0.86</v>
      </c>
      <c r="D6" s="8">
        <v>7000</v>
      </c>
      <c r="E6" s="8">
        <f>D6*C6</f>
        <v>6020</v>
      </c>
      <c r="F6" s="8"/>
      <c r="G6" s="8"/>
      <c r="H6" s="8"/>
      <c r="I6" s="8">
        <v>3</v>
      </c>
      <c r="J6" s="14">
        <v>50000</v>
      </c>
      <c r="K6" s="14">
        <f>I6*J6</f>
        <v>150000</v>
      </c>
      <c r="L6" s="5"/>
      <c r="M6" s="13" t="s">
        <v>8</v>
      </c>
      <c r="N6" s="8">
        <v>80.475999999999999</v>
      </c>
      <c r="O6" s="14">
        <v>50000</v>
      </c>
      <c r="P6" s="12">
        <f>N6*O6</f>
        <v>4023800</v>
      </c>
      <c r="R6" s="13" t="s">
        <v>8</v>
      </c>
      <c r="S6" s="8">
        <v>80.475999999999999</v>
      </c>
      <c r="T6" s="14">
        <v>50000</v>
      </c>
      <c r="U6" s="12">
        <f>S6*T6</f>
        <v>4023800</v>
      </c>
    </row>
    <row r="7" spans="2:25" x14ac:dyDescent="0.3">
      <c r="B7" s="13" t="s">
        <v>9</v>
      </c>
      <c r="C7" s="8"/>
      <c r="D7" s="8"/>
      <c r="E7" s="8">
        <f>+C5*700</f>
        <v>5166</v>
      </c>
      <c r="F7" s="8"/>
      <c r="G7" s="8" t="s">
        <v>3</v>
      </c>
      <c r="H7" s="8">
        <v>700</v>
      </c>
      <c r="I7" s="8"/>
      <c r="J7" s="14">
        <v>3000</v>
      </c>
      <c r="K7" s="14">
        <f>IF(MIN(J7*I5,0.66)=0.66,2000,J7*I5)</f>
        <v>2000</v>
      </c>
      <c r="L7" s="5"/>
      <c r="M7" s="13" t="s">
        <v>9</v>
      </c>
      <c r="N7" s="8"/>
      <c r="O7" s="14">
        <v>3000</v>
      </c>
      <c r="P7" s="14">
        <f>IF(MIN(O7*N5,0.66)=0.66,2000,O7*N5)</f>
        <v>2000</v>
      </c>
      <c r="R7" s="13" t="s">
        <v>9</v>
      </c>
      <c r="S7" s="8"/>
      <c r="T7" s="14">
        <v>3000</v>
      </c>
      <c r="U7" s="14">
        <f>IF(MIN(T7*S5,0.66)=0.66,2000,T7*S5)</f>
        <v>2000</v>
      </c>
    </row>
    <row r="8" spans="2:25" x14ac:dyDescent="0.3">
      <c r="E8">
        <f>SUM(E5:E7)</f>
        <v>72618.88861699999</v>
      </c>
      <c r="F8">
        <f>E8*3</f>
        <v>217856.66585099997</v>
      </c>
      <c r="K8" s="15">
        <f>SUM(K5:K7)</f>
        <v>160499.00904522612</v>
      </c>
      <c r="L8" s="6"/>
      <c r="P8" s="26">
        <f>SUM(P5:P7)</f>
        <v>4378224.5226130653</v>
      </c>
      <c r="U8" s="26">
        <f>SUM(U5:U7)</f>
        <v>5772887.4371859292</v>
      </c>
    </row>
    <row r="9" spans="2:25" x14ac:dyDescent="0.3">
      <c r="B9" s="4"/>
      <c r="C9" s="4"/>
      <c r="D9" s="4"/>
      <c r="E9" s="4"/>
      <c r="F9" s="4"/>
      <c r="G9" s="4"/>
      <c r="H9" s="4"/>
      <c r="I9" s="4"/>
      <c r="J9" s="4"/>
      <c r="K9" s="18">
        <f>+K8/0.7</f>
        <v>229284.29863603733</v>
      </c>
      <c r="L9" s="6"/>
      <c r="M9" s="4"/>
      <c r="N9" s="4"/>
      <c r="O9" s="4"/>
      <c r="P9" s="18">
        <f>+P8/0.7</f>
        <v>6254606.4608758083</v>
      </c>
      <c r="U9" s="18">
        <f>+U8/0.7</f>
        <v>8246982.0531227561</v>
      </c>
      <c r="V9" s="19"/>
      <c r="W9" s="20"/>
      <c r="X9" s="1"/>
      <c r="Y9" s="17"/>
    </row>
    <row r="10" spans="2:25" x14ac:dyDescent="0.3">
      <c r="B10" s="4"/>
      <c r="C10" s="4"/>
      <c r="D10" s="4"/>
      <c r="E10" s="4"/>
      <c r="F10" s="4"/>
      <c r="G10" s="4"/>
      <c r="H10" s="4"/>
      <c r="I10" s="29" t="s">
        <v>20</v>
      </c>
      <c r="J10" s="30"/>
      <c r="K10" s="31">
        <f>+K9/95</f>
        <v>2413.5189330109192</v>
      </c>
      <c r="L10" s="6"/>
      <c r="M10" s="4"/>
      <c r="N10" s="29" t="s">
        <v>20</v>
      </c>
      <c r="O10" s="30"/>
      <c r="P10" s="31">
        <f>+P9/95</f>
        <v>65837.962746061137</v>
      </c>
      <c r="S10" s="29" t="s">
        <v>20</v>
      </c>
      <c r="T10" s="30"/>
      <c r="U10" s="31">
        <f>+U9/95</f>
        <v>86810.33740129217</v>
      </c>
      <c r="V10" s="19"/>
      <c r="W10" s="20"/>
      <c r="X10" s="1"/>
      <c r="Y10" s="17"/>
    </row>
    <row r="11" spans="2:25" x14ac:dyDescent="0.3">
      <c r="B11" s="4"/>
      <c r="C11" s="4"/>
      <c r="D11" s="4"/>
      <c r="E11" s="4"/>
      <c r="F11" s="4"/>
      <c r="G11" s="4"/>
      <c r="H11" s="4"/>
      <c r="I11" s="32" t="s">
        <v>21</v>
      </c>
      <c r="J11" s="30"/>
      <c r="K11" s="31">
        <f>+K9/128</f>
        <v>1791.2835830940417</v>
      </c>
      <c r="L11" s="6"/>
      <c r="M11" s="4"/>
      <c r="N11" s="32" t="s">
        <v>21</v>
      </c>
      <c r="O11" s="30"/>
      <c r="P11" s="31">
        <f>+P9/128</f>
        <v>48864.112975592252</v>
      </c>
      <c r="S11" s="32" t="s">
        <v>21</v>
      </c>
      <c r="T11" s="30"/>
      <c r="U11" s="31">
        <f>+U9/128</f>
        <v>64429.547290021532</v>
      </c>
      <c r="V11" s="19"/>
      <c r="W11" s="20"/>
      <c r="X11" s="1"/>
      <c r="Y11" s="17"/>
    </row>
    <row r="12" spans="2:25" x14ac:dyDescent="0.3">
      <c r="B12" s="4"/>
      <c r="C12" s="4"/>
      <c r="D12" s="4"/>
      <c r="E12" s="4"/>
      <c r="F12" s="4"/>
      <c r="G12" s="4"/>
      <c r="H12" s="4"/>
      <c r="I12" s="32" t="s">
        <v>22</v>
      </c>
      <c r="J12" s="30"/>
      <c r="K12" s="31">
        <f>+K9/111</f>
        <v>2065.6243120363724</v>
      </c>
      <c r="L12" s="6"/>
      <c r="M12" s="4"/>
      <c r="N12" s="32" t="s">
        <v>22</v>
      </c>
      <c r="O12" s="30"/>
      <c r="P12" s="31">
        <f>+P9/111</f>
        <v>56347.805953836112</v>
      </c>
      <c r="S12" s="32" t="s">
        <v>22</v>
      </c>
      <c r="T12" s="30"/>
      <c r="U12" s="31">
        <f>+U9/111</f>
        <v>74297.135613718521</v>
      </c>
      <c r="V12" s="19"/>
      <c r="W12" s="20"/>
      <c r="X12" s="1"/>
      <c r="Y12" s="17"/>
    </row>
    <row r="13" spans="2:25" x14ac:dyDescent="0.3">
      <c r="B13" s="4"/>
      <c r="C13" s="4"/>
      <c r="D13" s="4"/>
      <c r="E13" s="4"/>
      <c r="F13" s="4"/>
      <c r="G13" s="4"/>
      <c r="H13" s="4"/>
      <c r="I13" s="4"/>
      <c r="J13" s="4"/>
      <c r="K13" s="16"/>
      <c r="L13" s="6"/>
      <c r="M13" s="4"/>
      <c r="N13" s="4"/>
      <c r="O13" s="4"/>
      <c r="P13" s="18"/>
      <c r="V13" s="19"/>
      <c r="W13" s="20"/>
      <c r="X13" s="1"/>
      <c r="Y13" s="17"/>
    </row>
    <row r="14" spans="2:25" x14ac:dyDescent="0.3">
      <c r="I14" s="7" t="s">
        <v>7</v>
      </c>
      <c r="J14" s="21" t="s">
        <v>14</v>
      </c>
      <c r="N14" s="7" t="s">
        <v>7</v>
      </c>
      <c r="O14" s="21" t="s">
        <v>15</v>
      </c>
    </row>
    <row r="15" spans="2:25" x14ac:dyDescent="0.3">
      <c r="I15" s="22">
        <v>17000</v>
      </c>
      <c r="J15" s="10">
        <f>+I15*41.07%/0.995</f>
        <v>7016.9849246231161</v>
      </c>
      <c r="N15" s="22">
        <v>17000</v>
      </c>
      <c r="O15" s="10">
        <f>+N15*38%/0.995</f>
        <v>6492.4623115577888</v>
      </c>
    </row>
    <row r="16" spans="2:25" x14ac:dyDescent="0.3">
      <c r="C16" s="10">
        <v>7.55</v>
      </c>
      <c r="D16" s="10"/>
      <c r="E16" s="10"/>
      <c r="F16" s="10"/>
      <c r="G16" s="10"/>
      <c r="H16" s="10"/>
      <c r="I16" s="13" t="s">
        <v>12</v>
      </c>
      <c r="J16" s="13" t="s">
        <v>11</v>
      </c>
      <c r="K16" s="13" t="s">
        <v>10</v>
      </c>
      <c r="L16" s="2"/>
      <c r="N16" s="13" t="s">
        <v>12</v>
      </c>
      <c r="O16" s="13" t="s">
        <v>11</v>
      </c>
      <c r="P16" s="13" t="s">
        <v>10</v>
      </c>
    </row>
    <row r="17" spans="2:24" x14ac:dyDescent="0.3">
      <c r="B17" s="13" t="s">
        <v>6</v>
      </c>
      <c r="C17" s="10">
        <v>7.38</v>
      </c>
      <c r="D17" s="10">
        <v>8324</v>
      </c>
      <c r="E17" s="10">
        <f>+C17*D17</f>
        <v>61431.12</v>
      </c>
      <c r="F17" s="10"/>
      <c r="G17" s="10"/>
      <c r="H17" s="10"/>
      <c r="I17" s="8">
        <v>15.3</v>
      </c>
      <c r="J17" s="11">
        <f>J15</f>
        <v>7016.9849246231161</v>
      </c>
      <c r="K17" s="11">
        <f>+I17*J17</f>
        <v>107359.86934673369</v>
      </c>
      <c r="L17" s="5"/>
      <c r="M17" s="13" t="s">
        <v>6</v>
      </c>
      <c r="N17" s="8">
        <v>10.6</v>
      </c>
      <c r="O17" s="11">
        <f>O15</f>
        <v>6492.4623115577888</v>
      </c>
      <c r="P17" s="11">
        <f>+N17*O17</f>
        <v>68820.100502512563</v>
      </c>
    </row>
    <row r="18" spans="2:24" x14ac:dyDescent="0.3">
      <c r="B18" s="13" t="s">
        <v>8</v>
      </c>
      <c r="C18" s="10">
        <v>0.86</v>
      </c>
      <c r="D18" s="10">
        <v>45000</v>
      </c>
      <c r="E18" s="10">
        <f>D18*C18</f>
        <v>38700</v>
      </c>
      <c r="F18" s="10"/>
      <c r="G18" s="10"/>
      <c r="H18" s="10"/>
      <c r="I18" s="8">
        <v>10.6</v>
      </c>
      <c r="J18" s="11">
        <v>8750</v>
      </c>
      <c r="K18" s="11">
        <f>J18*I18</f>
        <v>92750</v>
      </c>
      <c r="L18" s="5"/>
      <c r="M18" s="13" t="s">
        <v>8</v>
      </c>
      <c r="N18" s="8">
        <v>5.3</v>
      </c>
      <c r="O18" s="11">
        <v>10625</v>
      </c>
      <c r="P18" s="11">
        <f>O18*N18</f>
        <v>56312.5</v>
      </c>
    </row>
    <row r="19" spans="2:24" x14ac:dyDescent="0.3">
      <c r="B19" s="13" t="s">
        <v>9</v>
      </c>
      <c r="C19" s="10"/>
      <c r="D19" s="10"/>
      <c r="E19" s="10">
        <f>+C17*2000</f>
        <v>14760</v>
      </c>
      <c r="F19" s="10"/>
      <c r="G19" s="10" t="s">
        <v>2</v>
      </c>
      <c r="H19" s="10">
        <v>2000</v>
      </c>
      <c r="I19" s="10"/>
      <c r="J19" s="11">
        <v>3000</v>
      </c>
      <c r="K19" s="11">
        <f>IF(MIN(J19*I17,0.66)=0.66,2000,J19*I5)</f>
        <v>2000</v>
      </c>
      <c r="L19" s="5"/>
      <c r="M19" s="13" t="s">
        <v>9</v>
      </c>
      <c r="N19" s="10"/>
      <c r="O19" s="11">
        <v>3000</v>
      </c>
      <c r="P19" s="11">
        <f>IF(MIN(O19*N17,0.66)=0.66,2000,O19*N5)</f>
        <v>2000</v>
      </c>
    </row>
    <row r="20" spans="2:24" x14ac:dyDescent="0.3">
      <c r="E20">
        <f>SUM(E17:E19)</f>
        <v>114891.12</v>
      </c>
      <c r="F20">
        <f>E20*3</f>
        <v>344673.36</v>
      </c>
      <c r="K20" s="27">
        <f>SUM(K17:K19)</f>
        <v>202109.86934673367</v>
      </c>
      <c r="L20" s="1"/>
      <c r="P20" s="27">
        <f>SUM(P17:P19)</f>
        <v>127132.60050251256</v>
      </c>
      <c r="W20" s="2"/>
      <c r="X20" s="1"/>
    </row>
    <row r="21" spans="2:24" x14ac:dyDescent="0.3">
      <c r="K21" s="18">
        <f>+K20/0.7</f>
        <v>288728.38478104811</v>
      </c>
      <c r="L21" s="1"/>
      <c r="P21" s="18">
        <f>+P20/0.7</f>
        <v>181618.00071787511</v>
      </c>
      <c r="W21" s="2"/>
      <c r="X21" s="1"/>
    </row>
    <row r="22" spans="2:24" x14ac:dyDescent="0.3">
      <c r="I22" s="29" t="s">
        <v>20</v>
      </c>
      <c r="J22" s="30"/>
      <c r="K22" s="31">
        <f>+K21/95</f>
        <v>3039.2461555899799</v>
      </c>
      <c r="L22" s="6"/>
      <c r="M22" s="4"/>
      <c r="N22" s="29" t="s">
        <v>20</v>
      </c>
      <c r="O22" s="30"/>
      <c r="P22" s="31">
        <f>+P21/95</f>
        <v>1911.7684286092117</v>
      </c>
      <c r="W22" s="2"/>
      <c r="X22" s="1"/>
    </row>
    <row r="23" spans="2:24" x14ac:dyDescent="0.3">
      <c r="I23" s="32" t="s">
        <v>21</v>
      </c>
      <c r="J23" s="30"/>
      <c r="K23" s="31">
        <f>+K21/128</f>
        <v>2255.6905061019384</v>
      </c>
      <c r="L23" s="6"/>
      <c r="M23" s="4"/>
      <c r="N23" s="32" t="s">
        <v>21</v>
      </c>
      <c r="O23" s="30"/>
      <c r="P23" s="31">
        <f>+P21/128</f>
        <v>1418.8906306083993</v>
      </c>
      <c r="W23" s="2"/>
      <c r="X23" s="1"/>
    </row>
    <row r="24" spans="2:24" x14ac:dyDescent="0.3">
      <c r="I24" s="32" t="s">
        <v>22</v>
      </c>
      <c r="J24" s="30"/>
      <c r="K24" s="31">
        <f>+K21/111</f>
        <v>2601.1566196490821</v>
      </c>
      <c r="L24" s="6"/>
      <c r="M24" s="4"/>
      <c r="N24" s="32" t="s">
        <v>22</v>
      </c>
      <c r="O24" s="30"/>
      <c r="P24" s="31">
        <f>+P21/111</f>
        <v>1636.1982046655417</v>
      </c>
      <c r="W24" s="2"/>
      <c r="X24" s="1"/>
    </row>
    <row r="27" spans="2:24" x14ac:dyDescent="0.3">
      <c r="I27" s="23">
        <v>46164</v>
      </c>
      <c r="M27" s="2" t="s">
        <v>13</v>
      </c>
    </row>
    <row r="28" spans="2:24" x14ac:dyDescent="0.3">
      <c r="I28" s="7"/>
      <c r="J28" s="7" t="s">
        <v>16</v>
      </c>
      <c r="K28" s="7"/>
      <c r="N28" s="13" t="s">
        <v>12</v>
      </c>
      <c r="O28" s="13" t="s">
        <v>11</v>
      </c>
      <c r="P28" s="13" t="s">
        <v>10</v>
      </c>
    </row>
    <row r="29" spans="2:24" x14ac:dyDescent="0.3">
      <c r="I29" s="7"/>
      <c r="J29" s="7" t="s">
        <v>4</v>
      </c>
      <c r="K29" s="7" t="s">
        <v>6</v>
      </c>
      <c r="M29" s="13" t="s">
        <v>4</v>
      </c>
      <c r="N29" s="8">
        <v>3.5</v>
      </c>
      <c r="O29" s="14">
        <v>1815</v>
      </c>
      <c r="P29" s="14">
        <f>+N29*O29</f>
        <v>6352.5</v>
      </c>
    </row>
    <row r="30" spans="2:24" x14ac:dyDescent="0.3">
      <c r="I30" s="7" t="s">
        <v>5</v>
      </c>
      <c r="J30" s="14">
        <v>40000</v>
      </c>
      <c r="K30" s="14">
        <v>50000</v>
      </c>
      <c r="M30" s="13" t="s">
        <v>8</v>
      </c>
      <c r="N30" s="8">
        <v>0.98</v>
      </c>
      <c r="O30" s="14">
        <v>40000</v>
      </c>
      <c r="P30" s="14">
        <f>N30*O30</f>
        <v>39200</v>
      </c>
    </row>
    <row r="31" spans="2:24" x14ac:dyDescent="0.3">
      <c r="M31" s="13" t="s">
        <v>9</v>
      </c>
      <c r="N31" s="8"/>
      <c r="O31" s="14">
        <v>500</v>
      </c>
      <c r="P31" s="14">
        <f>O31*N29</f>
        <v>1750</v>
      </c>
    </row>
    <row r="32" spans="2:24" x14ac:dyDescent="0.3">
      <c r="I32" s="24">
        <v>46164</v>
      </c>
      <c r="J32" s="7" t="s">
        <v>18</v>
      </c>
      <c r="P32" s="15">
        <f>SUM(P29:P31)</f>
        <v>47302.5</v>
      </c>
    </row>
    <row r="33" spans="6:13" x14ac:dyDescent="0.3">
      <c r="I33" s="7" t="s">
        <v>6</v>
      </c>
      <c r="J33" s="25">
        <v>17000</v>
      </c>
    </row>
    <row r="34" spans="6:13" x14ac:dyDescent="0.3">
      <c r="I34" s="7" t="s">
        <v>4</v>
      </c>
      <c r="J34" s="25">
        <v>1815</v>
      </c>
    </row>
    <row r="35" spans="6:13" x14ac:dyDescent="0.3">
      <c r="M35" s="2"/>
    </row>
    <row r="36" spans="6:13" x14ac:dyDescent="0.3">
      <c r="I36" s="28" t="s">
        <v>19</v>
      </c>
    </row>
    <row r="43" spans="6:13" x14ac:dyDescent="0.3">
      <c r="F43">
        <v>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Vikas Desai</cp:lastModifiedBy>
  <dcterms:created xsi:type="dcterms:W3CDTF">2025-09-29T10:18:19Z</dcterms:created>
  <dcterms:modified xsi:type="dcterms:W3CDTF">2026-05-22T12:38:45Z</dcterms:modified>
</cp:coreProperties>
</file>